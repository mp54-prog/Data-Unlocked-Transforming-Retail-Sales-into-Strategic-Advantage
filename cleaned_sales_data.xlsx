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lav\Documents\Victoria Solutions Internship\Project 2\"/>
    </mc:Choice>
  </mc:AlternateContent>
  <xr:revisionPtr revIDLastSave="0" documentId="13_ncr:1_{2850745D-E57F-4718-A984-C560CBC2CDC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leaned Data" sheetId="1" r:id="rId1"/>
    <sheet name="Analysis" sheetId="2" r:id="rId2"/>
  </sheets>
  <definedNames>
    <definedName name="_xlchart.v1.0" hidden="1">Analysis!$G$1</definedName>
    <definedName name="_xlchart.v1.1" hidden="1">Analysis!$G$2:$G$8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H3" i="2"/>
  <c r="H8" i="2"/>
  <c r="H7" i="2"/>
  <c r="H6" i="2"/>
  <c r="H5" i="2"/>
  <c r="H4" i="2"/>
  <c r="H2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<sst xmlns="http://schemas.openxmlformats.org/spreadsheetml/2006/main" count="129" uniqueCount="64">
  <si>
    <t>Order_ID</t>
  </si>
  <si>
    <t>Customer_Name</t>
  </si>
  <si>
    <t>Email</t>
  </si>
  <si>
    <t>Phone</t>
  </si>
  <si>
    <t>Product_Category</t>
  </si>
  <si>
    <t>Order_Date</t>
  </si>
  <si>
    <t>Revenue</t>
  </si>
  <si>
    <t>Discount (%)</t>
  </si>
  <si>
    <t>101</t>
  </si>
  <si>
    <t>John Doe</t>
  </si>
  <si>
    <t>john@email.com</t>
  </si>
  <si>
    <t>9876543210</t>
  </si>
  <si>
    <t>Electronics</t>
  </si>
  <si>
    <t>1200.00</t>
  </si>
  <si>
    <t>10.00%</t>
  </si>
  <si>
    <t>102</t>
  </si>
  <si>
    <t>Alice Smith</t>
  </si>
  <si>
    <t>not_provided@email.com</t>
  </si>
  <si>
    <t>9898989898</t>
  </si>
  <si>
    <t>Clothing</t>
  </si>
  <si>
    <t>500.00</t>
  </si>
  <si>
    <t>0.00%</t>
  </si>
  <si>
    <t>103</t>
  </si>
  <si>
    <t>Bob Miller</t>
  </si>
  <si>
    <t>bob@email.com</t>
  </si>
  <si>
    <t>0000000000</t>
  </si>
  <si>
    <t>3000.00</t>
  </si>
  <si>
    <t>20.00%</t>
  </si>
  <si>
    <t>105</t>
  </si>
  <si>
    <t>David White</t>
  </si>
  <si>
    <t>david@email.com</t>
  </si>
  <si>
    <t>9123456789</t>
  </si>
  <si>
    <t>Furniture</t>
  </si>
  <si>
    <t>2500.00</t>
  </si>
  <si>
    <t>15.00%</t>
  </si>
  <si>
    <t>106</t>
  </si>
  <si>
    <t>Emma Brown</t>
  </si>
  <si>
    <t>emma@email.com</t>
  </si>
  <si>
    <t>9234567890</t>
  </si>
  <si>
    <t>700.00</t>
  </si>
  <si>
    <t>5.00%</t>
  </si>
  <si>
    <t>107</t>
  </si>
  <si>
    <t>Chris Green</t>
  </si>
  <si>
    <t>9345678901</t>
  </si>
  <si>
    <t>1800.00</t>
  </si>
  <si>
    <t>25.00%</t>
  </si>
  <si>
    <t>108</t>
  </si>
  <si>
    <t>alice@email.com</t>
  </si>
  <si>
    <t>Order_Month</t>
  </si>
  <si>
    <t>January</t>
  </si>
  <si>
    <t>February</t>
  </si>
  <si>
    <t>March</t>
  </si>
  <si>
    <t>May</t>
  </si>
  <si>
    <t>August</t>
  </si>
  <si>
    <t>October</t>
  </si>
  <si>
    <t>December</t>
  </si>
  <si>
    <t>Sum of Revenue</t>
  </si>
  <si>
    <t>Product Category</t>
  </si>
  <si>
    <t>Average of Discount (%)</t>
  </si>
  <si>
    <t>Total Revenue</t>
  </si>
  <si>
    <t>Total  Revenue</t>
  </si>
  <si>
    <t>Grand Total</t>
  </si>
  <si>
    <t>Month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</si>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</sst>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 vertical="top"/>
    </xf>
    <xf numFmtId="10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2" fontId="0" fillId="0" borderId="0" xfId="0" applyNumberFormat="1"/>
    <xf numFmtId="0" fontId="0" fillId="0" borderId="0" xfId="0" pivotButton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68">
    <dxf>
      <numFmt numFmtId="30" formatCode="@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</dxf>
    <dxf>
      <numFmt numFmtId="2" formatCode="0.00"/>
      <alignment horizontal="center" vertical="top" textRotation="0" wrapText="0" indent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2" formatCode="0.00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2" formatCode="0.00"/>
    </dxf>
    <dxf>
      <font>
        <b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65" formatCode="0.000%"/>
    </dxf>
    <dxf>
      <numFmt numFmtId="2" formatCode="0.00"/>
    </dxf>
    <dxf>
      <numFmt numFmtId="2" formatCode="0.00"/>
    </dxf>
    <dxf>
      <numFmt numFmtId="14" formatCode="0.00%"/>
      <alignment horizontal="center" vertical="top" textRotation="0" wrapText="0" indent="0" justifyLastLine="0" shrinkToFit="0" readingOrder="0"/>
    </dxf>
    <dxf>
      <numFmt numFmtId="2" formatCode="0.00"/>
      <alignment horizontal="center" vertical="top" textRotation="0" wrapText="0" indent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 u="sng"/>
              <a:t>Discount Rate vs 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20709413191345"/>
          <c:y val="0.15180491551459294"/>
          <c:w val="0.82237671723164119"/>
          <c:h val="0.6930364551205292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Analysis!$H$2:$H$8</c:f>
              <c:numCache>
                <c:formatCode>0.00%</c:formatCode>
                <c:ptCount val="7"/>
                <c:pt idx="0">
                  <c:v>0.1</c:v>
                </c:pt>
                <c:pt idx="1">
                  <c:v>0</c:v>
                </c:pt>
                <c:pt idx="2">
                  <c:v>0.2</c:v>
                </c:pt>
                <c:pt idx="3">
                  <c:v>0.15</c:v>
                </c:pt>
                <c:pt idx="4">
                  <c:v>0.05</c:v>
                </c:pt>
                <c:pt idx="5">
                  <c:v>0.25</c:v>
                </c:pt>
                <c:pt idx="6">
                  <c:v>0</c:v>
                </c:pt>
              </c:numCache>
            </c:numRef>
          </c:xVal>
          <c:yVal>
            <c:numRef>
              <c:f>Analysis!$G$2:$G$8</c:f>
              <c:numCache>
                <c:formatCode>0.00</c:formatCode>
                <c:ptCount val="7"/>
                <c:pt idx="0">
                  <c:v>1200</c:v>
                </c:pt>
                <c:pt idx="1">
                  <c:v>500</c:v>
                </c:pt>
                <c:pt idx="2">
                  <c:v>3000</c:v>
                </c:pt>
                <c:pt idx="3">
                  <c:v>2500</c:v>
                </c:pt>
                <c:pt idx="4">
                  <c:v>700</c:v>
                </c:pt>
                <c:pt idx="5">
                  <c:v>1800</c:v>
                </c:pt>
                <c:pt idx="6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D8-486A-8D2E-AE271F7D3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792352"/>
        <c:axId val="743804832"/>
      </c:scatterChart>
      <c:valAx>
        <c:axId val="743792352"/>
        <c:scaling>
          <c:orientation val="minMax"/>
          <c:max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Discount Rate</a:t>
                </a:r>
              </a:p>
            </c:rich>
          </c:tx>
          <c:layout>
            <c:manualLayout>
              <c:xMode val="edge"/>
              <c:yMode val="edge"/>
              <c:x val="0.45005005188304953"/>
              <c:y val="0.927092782756994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04832"/>
        <c:crosses val="autoZero"/>
        <c:crossBetween val="midCat"/>
      </c:valAx>
      <c:valAx>
        <c:axId val="743804832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Total Revenue</a:t>
                </a:r>
              </a:p>
            </c:rich>
          </c:tx>
          <c:layout>
            <c:manualLayout>
              <c:xMode val="edge"/>
              <c:yMode val="edge"/>
              <c:x val="1.3565891472868217E-2"/>
              <c:y val="0.37482068773661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9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 u="sng">
              <a:solidFill>
                <a:sysClr val="windowText" lastClr="000000"/>
              </a:solidFill>
              <a:latin typeface="+mn-lt"/>
            </a:defRPr>
          </a:pPr>
          <a:r>
            <a:rPr lang="en-US" sz="1600" b="1" i="0" u="sng" strike="noStrike" baseline="0">
              <a:solidFill>
                <a:sysClr val="windowText" lastClr="000000"/>
              </a:solidFill>
              <a:latin typeface="+mn-lt"/>
            </a:rPr>
            <a:t>Distribution of Revenue</a:t>
          </a:r>
        </a:p>
      </cx:txPr>
    </cx:title>
    <cx:plotArea>
      <cx:plotAreaRegion>
        <cx:series layoutId="clusteredColumn" uniqueId="{C48A09EE-0989-4085-B7B7-5CE33BF6C89F}">
          <cx:tx>
            <cx:txData>
              <cx:f>_xlchart.v1.0</cx:f>
              <cx:v>Revenue</cx:v>
            </cx:txData>
          </cx:tx>
          <cx:dataId val="0"/>
          <cx:layoutPr>
            <cx:binning intervalClosed="r">
              <cx:binSize val="1000"/>
            </cx:binning>
          </cx:layoutPr>
        </cx:series>
      </cx:plotAreaRegion>
      <cx:axis id="0">
        <cx:catScaling gapWidth="0"/>
        <cx:title>
          <cx:tx>
            <cx:txData>
              <cx:v>Revenue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000" b="1" i="0">
                  <a:solidFill>
                    <a:sysClr val="windowText" lastClr="000000"/>
                  </a:solidFill>
                  <a:latin typeface="+mn-lt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000" b="1">
                  <a:solidFill>
                    <a:sysClr val="windowText" lastClr="000000"/>
                  </a:solidFill>
                  <a:latin typeface="+mn-lt"/>
                </a:rPr>
                <a:t>Revenue</a:t>
              </a:r>
            </a:p>
          </cx:txPr>
        </cx:title>
        <cx:majorGridlines/>
        <cx:min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+mn-lt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GB">
              <a:solidFill>
                <a:sysClr val="windowText" lastClr="000000"/>
              </a:solidFill>
              <a:latin typeface="+mn-lt"/>
            </a:endParaRPr>
          </a:p>
        </cx:txPr>
      </cx:axis>
      <cx:axis id="1">
        <cx:valScaling max="4"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ysClr val="windowText" lastClr="000000"/>
                  </a:solidFill>
                  <a:latin typeface="+mn-lt"/>
                </a:defRPr>
              </a:pPr>
              <a:r>
                <a:rPr lang="en-US" sz="1000" b="1" i="0" u="none" strike="noStrike" baseline="0">
                  <a:solidFill>
                    <a:sysClr val="windowText" lastClr="000000"/>
                  </a:solidFill>
                  <a:latin typeface="+mn-lt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+mn-lt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GB">
              <a:solidFill>
                <a:sysClr val="windowText" lastClr="000000"/>
              </a:solidFill>
              <a:latin typeface="+mn-lt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</xdr:row>
      <xdr:rowOff>175260</xdr:rowOff>
    </xdr:from>
    <xdr:to>
      <xdr:col>8</xdr:col>
      <xdr:colOff>0</xdr:colOff>
      <xdr:row>29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6B3BF-E68C-1AD5-7E1A-A4367091D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10</xdr:row>
      <xdr:rowOff>179070</xdr:rowOff>
    </xdr:from>
    <xdr:to>
      <xdr:col>13</xdr:col>
      <xdr:colOff>114300</xdr:colOff>
      <xdr:row>30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13F0013-D394-153B-1FAB-8CBBDBB48B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6240" y="2007870"/>
              <a:ext cx="3634740" cy="348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v" refreshedDate="45903.646751967593" createdVersion="8" refreshedVersion="8" minRefreshableVersion="3" recordCount="7" xr:uid="{10A80873-69EA-4AC0-B117-9C5C0E52E87D}">
  <cacheSource type="worksheet">
    <worksheetSource name="Table13"/>
  </cacheSource>
  <cacheFields count="9">
    <cacheField name="Order_ID" numFmtId="0">
      <sharedItems containsSemiMixedTypes="0" containsString="0" containsNumber="1" containsInteger="1" minValue="101" maxValue="108"/>
    </cacheField>
    <cacheField name="Customer_Name" numFmtId="49">
      <sharedItems/>
    </cacheField>
    <cacheField name="Email" numFmtId="49">
      <sharedItems/>
    </cacheField>
    <cacheField name="Phone" numFmtId="2">
      <sharedItems/>
    </cacheField>
    <cacheField name="Product_Category" numFmtId="49">
      <sharedItems count="3">
        <s v="Electronics"/>
        <s v="Clothing"/>
        <s v="Furniture"/>
      </sharedItems>
    </cacheField>
    <cacheField name="Order_Date" numFmtId="164">
      <sharedItems containsSemiMixedTypes="0" containsNonDate="0" containsDate="1" containsString="0" minDate="2023-12-31T00:00:00" maxDate="2024-10-05T00:00:00"/>
    </cacheField>
    <cacheField name="Revenue" numFmtId="0">
      <sharedItems containsSemiMixedTypes="0" containsString="0" containsNumber="1" containsInteger="1" minValue="500" maxValue="3000" count="6">
        <n v="1200"/>
        <n v="500"/>
        <n v="3000"/>
        <n v="2500"/>
        <n v="700"/>
        <n v="1800"/>
      </sharedItems>
    </cacheField>
    <cacheField name="Discount (%)" numFmtId="10">
      <sharedItems containsSemiMixedTypes="0" containsString="0" containsNumber="1" minValue="0" maxValue="0.25" count="6">
        <n v="0.1"/>
        <n v="0"/>
        <n v="0.2"/>
        <n v="0.15"/>
        <n v="0.05"/>
        <n v="0.25"/>
      </sharedItems>
    </cacheField>
    <cacheField name="Order_Month" numFmtId="49">
      <sharedItems count="7">
        <s v="December"/>
        <s v="May"/>
        <s v="January"/>
        <s v="February"/>
        <s v="March"/>
        <s v="October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1"/>
    <s v="John Doe"/>
    <s v="john@email.com"/>
    <s v="9876543210"/>
    <x v="0"/>
    <d v="2023-12-31T00:00:00"/>
    <x v="0"/>
    <x v="0"/>
    <x v="0"/>
  </r>
  <r>
    <n v="102"/>
    <s v="Alice Smith"/>
    <s v="not_provided@email.com"/>
    <s v="9898989898"/>
    <x v="1"/>
    <d v="2024-05-01T00:00:00"/>
    <x v="1"/>
    <x v="1"/>
    <x v="1"/>
  </r>
  <r>
    <n v="103"/>
    <s v="Bob Miller"/>
    <s v="bob@email.com"/>
    <s v="0000000000"/>
    <x v="0"/>
    <d v="2024-01-12T00:00:00"/>
    <x v="2"/>
    <x v="2"/>
    <x v="2"/>
  </r>
  <r>
    <n v="105"/>
    <s v="David White"/>
    <s v="david@email.com"/>
    <s v="9123456789"/>
    <x v="2"/>
    <d v="2024-02-15T00:00:00"/>
    <x v="3"/>
    <x v="3"/>
    <x v="3"/>
  </r>
  <r>
    <n v="106"/>
    <s v="Emma Brown"/>
    <s v="emma@email.com"/>
    <s v="9234567890"/>
    <x v="1"/>
    <d v="2024-03-08T00:00:00"/>
    <x v="4"/>
    <x v="4"/>
    <x v="4"/>
  </r>
  <r>
    <n v="107"/>
    <s v="Chris Green"/>
    <s v="not_provided@email.com"/>
    <s v="9345678901"/>
    <x v="2"/>
    <d v="2024-10-04T00:00:00"/>
    <x v="5"/>
    <x v="5"/>
    <x v="5"/>
  </r>
  <r>
    <n v="108"/>
    <s v="Alice Smith"/>
    <s v="alice@email.com"/>
    <s v="0000000000"/>
    <x v="1"/>
    <d v="2024-08-03T00:00:00"/>
    <x v="1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F6829-A28D-4C2C-B459-B51408AB5DDD}" name="PivotTable3" cacheId="0" applyNumberFormats="0" applyBorderFormats="0" applyFontFormats="0" applyPatternFormats="0" applyAlignmentFormats="0" applyWidthHeightFormats="1" dataCaption="Values" missingCaption="0" updatedVersion="8" minRefreshableVersion="3" useAutoFormatting="1" colGrandTotals="0" itemPrintTitles="1" createdVersion="8" indent="0" outline="1" outlineData="1" multipleFieldFilters="0" rowHeaderCaption="Product Category" colHeaderCaption="Product Category">
  <location ref="P17:Q21" firstHeaderRow="1" firstDataRow="1" firstDataCol="1"/>
  <pivotFields count="9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64" showAll="0"/>
    <pivotField dataField="1" showAll="0">
      <items count="7">
        <item x="1"/>
        <item x="4"/>
        <item x="0"/>
        <item x="5"/>
        <item x="3"/>
        <item x="2"/>
        <item t="default"/>
      </items>
    </pivotField>
    <pivotField numFmtId="10" showAll="0">
      <items count="7">
        <item x="1"/>
        <item x="4"/>
        <item x="0"/>
        <item x="3"/>
        <item x="2"/>
        <item x="5"/>
        <item t="default"/>
      </items>
    </pivotField>
    <pivotField showAll="0">
      <items count="8">
        <item x="2"/>
        <item x="3"/>
        <item x="4"/>
        <item x="1"/>
        <item x="6"/>
        <item x="5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6" baseField="0" baseItem="0"/>
  </dataFields>
  <formats count="17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46147-2B31-4C56-B9AA-DF7D7BC7A442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colGrandTotals="0" itemPrintTitles="1" createdVersion="8" indent="0" outline="1" outlineData="1" multipleFieldFilters="0" rowHeaderCaption="Month" colHeaderCaption="Revenue">
  <location ref="P7:Q15" firstHeaderRow="1" firstDataRow="1" firstDataCol="1"/>
  <pivotFields count="9"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164" showAll="0"/>
    <pivotField dataField="1" showAll="0">
      <items count="7">
        <item x="1"/>
        <item x="4"/>
        <item x="0"/>
        <item x="5"/>
        <item x="3"/>
        <item x="2"/>
        <item t="default"/>
      </items>
    </pivotField>
    <pivotField numFmtId="10" showAll="0">
      <items count="7">
        <item x="1"/>
        <item x="4"/>
        <item x="0"/>
        <item x="3"/>
        <item x="2"/>
        <item x="5"/>
        <item t="default"/>
      </items>
    </pivotField>
    <pivotField axis="axisRow" showAll="0">
      <items count="8">
        <item x="2"/>
        <item x="3"/>
        <item x="4"/>
        <item x="1"/>
        <item x="6"/>
        <item x="5"/>
        <item x="0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 Revenue" fld="6" baseField="8" baseItem="0"/>
  </dataFields>
  <formats count="11"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8" type="button" dataOnly="0" labelOnly="1" outline="0" axis="axisRow" fieldPosition="0"/>
    </format>
    <format dxfId="36">
      <pivotArea dataOnly="0" labelOnly="1" fieldPosition="0">
        <references count="1">
          <reference field="8" count="0"/>
        </references>
      </pivotArea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8" type="button" dataOnly="0" labelOnly="1" outline="0" axis="axisRow" fieldPosition="0"/>
    </format>
    <format dxfId="31">
      <pivotArea dataOnly="0" labelOnly="1" fieldPosition="0">
        <references count="1">
          <reference field="8" count="0"/>
        </references>
      </pivotArea>
    </format>
    <format dxfId="30">
      <pivotArea dataOnly="0" labelOnly="1" outline="0" axis="axisValues" fieldPosition="0"/>
    </format>
  </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A81AD-68CF-47F0-AF3A-04A396D0C83E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Product Category" colHeaderCaption="Product Category" customListSort="0">
  <location ref="P2:Q5" firstHeaderRow="1" firstDataRow="1" firstDataCol="1"/>
  <pivotFields count="9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64" showAll="0"/>
    <pivotField showAll="0">
      <items count="7">
        <item x="1"/>
        <item x="4"/>
        <item x="0"/>
        <item x="5"/>
        <item x="3"/>
        <item x="2"/>
        <item t="default"/>
      </items>
    </pivotField>
    <pivotField dataField="1" numFmtId="10" showAll="0">
      <items count="7">
        <item x="1"/>
        <item x="4"/>
        <item x="0"/>
        <item x="3"/>
        <item x="2"/>
        <item x="5"/>
        <item t="default"/>
      </items>
    </pivotField>
    <pivotField showAll="0">
      <items count="8">
        <item x="2"/>
        <item x="3"/>
        <item x="4"/>
        <item x="1"/>
        <item x="6"/>
        <item x="5"/>
        <item x="0"/>
        <item t="default"/>
      </items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Average of Discount (%)" fld="7" subtotal="average" baseField="4" baseItem="0" numFmtId="165"/>
  </dataFields>
  <formats count="14">
    <format dxfId="54">
      <pivotArea outline="0" collapsedLevelsAreSubtotals="1" fieldPosition="0"/>
    </format>
    <format dxfId="53">
      <pivotArea outline="0" fieldPosition="0">
        <references count="1">
          <reference field="4294967294" count="1">
            <x v="0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4" type="button" dataOnly="0" labelOnly="1" outline="0" axis="axisRow" fieldPosition="0"/>
    </format>
    <format dxfId="49">
      <pivotArea dataOnly="0" labelOnly="1" fieldPosition="0">
        <references count="1">
          <reference field="4" count="0"/>
        </references>
      </pivotArea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4" type="button" dataOnly="0" labelOnly="1" outline="0" axis="axisRow" fieldPosition="0"/>
    </format>
    <format dxfId="44">
      <pivotArea dataOnly="0" labelOnly="1" fieldPosition="0">
        <references count="1">
          <reference field="4" count="0"/>
        </references>
      </pivotArea>
    </format>
    <format dxfId="43">
      <pivotArea dataOnly="0" labelOnly="1" outline="0" axis="axisValues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fieldPosition="0">
        <references count="1">
          <reference field="4" count="1">
            <x v="0"/>
          </reference>
        </references>
      </pivotArea>
    </format>
  </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D8FAE-A1A8-4EDE-B23B-E80137F57782}" name="PivotTable5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rowHeaderCaption="Month" colHeaderCaption="Product Category">
  <location ref="K2:N10" firstHeaderRow="1" firstDataRow="2" firstDataCol="1"/>
  <pivotFields count="9"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numFmtId="164" showAll="0"/>
    <pivotField dataField="1" showAll="0">
      <items count="7">
        <item x="1"/>
        <item x="4"/>
        <item x="0"/>
        <item x="5"/>
        <item x="3"/>
        <item x="2"/>
        <item t="default"/>
      </items>
    </pivotField>
    <pivotField numFmtId="10" showAll="0"/>
    <pivotField axis="axisRow" showAll="0">
      <items count="8">
        <item x="2"/>
        <item x="3"/>
        <item x="4"/>
        <item x="1"/>
        <item x="6"/>
        <item x="5"/>
        <item x="0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4"/>
  </colFields>
  <colItems count="3">
    <i>
      <x/>
    </i>
    <i>
      <x v="1"/>
    </i>
    <i>
      <x v="2"/>
    </i>
  </colItems>
  <dataFields count="1">
    <dataField name="Sum of Revenue" fld="6" baseField="0" baseItem="0" numFmtId="2"/>
  </dataFields>
  <formats count="1">
    <format dxfId="55">
      <pivotArea outline="0" collapsedLevelsAreSubtotals="1" fieldPosition="0"/>
    </format>
  </formats>
  <conditionalFormats count="1"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B99FE-C17E-43C9-ADE2-21B5193AA1D5}" name="Table1" displayName="Table1" ref="A1:H8" totalsRowShown="0" headerRowDxfId="67" dataDxfId="65" headerRowBorderDxfId="66" tableBorderDxfId="64">
  <autoFilter ref="A1:H8" xr:uid="{BFEB99FE-C17E-43C9-ADE2-21B5193AA1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FEB91EE-1288-423F-A612-A7802A9E77D9}" name="Order_ID" dataDxfId="63"/>
    <tableColumn id="2" xr3:uid="{5EA3B780-B007-496F-B9A1-0A21D7B80CF3}" name="Customer_Name" dataDxfId="62"/>
    <tableColumn id="3" xr3:uid="{EC5F951C-0C53-4A83-B83A-9293597C5FEE}" name="Email" dataDxfId="61"/>
    <tableColumn id="4" xr3:uid="{5A6FDCCF-EDCE-47B5-A071-153F72384613}" name="Phone" dataDxfId="60"/>
    <tableColumn id="5" xr3:uid="{9AB3ACF0-3B17-420F-9EEA-940B1E1C5EC4}" name="Product_Category" dataDxfId="59"/>
    <tableColumn id="6" xr3:uid="{4FBA7AC1-7638-42FB-826A-FFE023851CFE}" name="Order_Date" dataDxfId="58"/>
    <tableColumn id="7" xr3:uid="{37A9AE8D-E440-4CD1-97B4-78823020878E}" name="Revenue" dataDxfId="57"/>
    <tableColumn id="8" xr3:uid="{AC5F042B-0078-4D4A-B151-9A1EF5D1E2AE}" name="Discount (%)" dataDxfId="5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FBDABF-AFED-4A4C-B94A-8CA40F4A9140}" name="Table13" displayName="Table13" ref="A1:I8" totalsRowShown="0" headerRowDxfId="12" dataDxfId="10" headerRowBorderDxfId="11" tableBorderDxfId="9">
  <autoFilter ref="A1:I8" xr:uid="{E2FBDABF-AFED-4A4C-B94A-8CA40F4A91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79952A3-6000-4196-8824-7A732D811692}" name="Order_ID" dataDxfId="8"/>
    <tableColumn id="2" xr3:uid="{5D4B397A-21C9-490A-9B0D-564C1CC8BBE1}" name="Customer_Name" dataDxfId="7"/>
    <tableColumn id="3" xr3:uid="{2DF56E0D-1530-4396-966A-7B834DAA1469}" name="Email" dataDxfId="6"/>
    <tableColumn id="4" xr3:uid="{1045D60A-045B-446F-9245-C8B3F30A0899}" name="Phone" dataDxfId="5"/>
    <tableColumn id="5" xr3:uid="{287E7441-4325-4E70-85AB-C3EFB7914471}" name="Product_Category" dataDxfId="4"/>
    <tableColumn id="6" xr3:uid="{0B20CB6A-9DA1-4B64-930F-B1101C2DE89C}" name="Order_Date" dataDxfId="3"/>
    <tableColumn id="7" xr3:uid="{111983FA-4C5E-45C7-AA22-65683DA2F738}" name="Revenue" dataDxfId="2"/>
    <tableColumn id="8" xr3:uid="{EBFD9BF8-F955-4159-BF09-5550C2BC4C70}" name="Discount (%)" dataDxfId="1"/>
    <tableColumn id="9" xr3:uid="{87D163B7-AE80-4C98-9CE9-72901E76D657}" name="Order_Month" dataDxfId="0">
      <calculatedColumnFormula>TEXT(Table13[[#This Row],[Order_Date]], "mmmm")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sqref="A1:H8"/>
    </sheetView>
  </sheetViews>
  <sheetFormatPr defaultRowHeight="14.4" x14ac:dyDescent="0.3"/>
  <cols>
    <col min="1" max="1" width="10.44140625" customWidth="1"/>
    <col min="2" max="2" width="17" customWidth="1"/>
    <col min="3" max="3" width="22.5546875" bestFit="1" customWidth="1"/>
    <col min="4" max="4" width="11" bestFit="1" customWidth="1"/>
    <col min="5" max="5" width="18.109375" customWidth="1"/>
    <col min="6" max="6" width="12.5546875" customWidth="1"/>
    <col min="7" max="7" width="10.21875" customWidth="1"/>
    <col min="8" max="8" width="13.44140625" customWidth="1"/>
    <col min="9" max="9" width="12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5">
        <v>45291</v>
      </c>
      <c r="G2" s="3" t="s">
        <v>13</v>
      </c>
      <c r="H2" s="4" t="s">
        <v>14</v>
      </c>
    </row>
    <row r="3" spans="1:8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5">
        <v>45413</v>
      </c>
      <c r="G3" s="3" t="s">
        <v>20</v>
      </c>
      <c r="H3" s="4" t="s">
        <v>21</v>
      </c>
    </row>
    <row r="4" spans="1:8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12</v>
      </c>
      <c r="F4" s="5">
        <v>45303</v>
      </c>
      <c r="G4" s="3" t="s">
        <v>26</v>
      </c>
      <c r="H4" s="4" t="s">
        <v>27</v>
      </c>
    </row>
    <row r="5" spans="1:8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5">
        <v>45337</v>
      </c>
      <c r="G5" s="3" t="s">
        <v>33</v>
      </c>
      <c r="H5" s="4" t="s">
        <v>34</v>
      </c>
    </row>
    <row r="6" spans="1:8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19</v>
      </c>
      <c r="F6" s="5">
        <v>45359</v>
      </c>
      <c r="G6" s="3" t="s">
        <v>39</v>
      </c>
      <c r="H6" s="4" t="s">
        <v>40</v>
      </c>
    </row>
    <row r="7" spans="1:8" x14ac:dyDescent="0.3">
      <c r="A7" s="2" t="s">
        <v>41</v>
      </c>
      <c r="B7" s="2" t="s">
        <v>42</v>
      </c>
      <c r="C7" s="2" t="s">
        <v>17</v>
      </c>
      <c r="D7" s="2" t="s">
        <v>43</v>
      </c>
      <c r="E7" s="2" t="s">
        <v>32</v>
      </c>
      <c r="F7" s="5">
        <v>45569</v>
      </c>
      <c r="G7" s="3" t="s">
        <v>44</v>
      </c>
      <c r="H7" s="4" t="s">
        <v>45</v>
      </c>
    </row>
    <row r="8" spans="1:8" x14ac:dyDescent="0.3">
      <c r="A8" s="2" t="s">
        <v>46</v>
      </c>
      <c r="B8" s="2" t="s">
        <v>16</v>
      </c>
      <c r="C8" s="2" t="s">
        <v>47</v>
      </c>
      <c r="D8" s="2" t="s">
        <v>25</v>
      </c>
      <c r="E8" s="2" t="s">
        <v>19</v>
      </c>
      <c r="F8" s="5">
        <v>45507</v>
      </c>
      <c r="G8" s="3" t="s">
        <v>20</v>
      </c>
      <c r="H8" s="4" t="s">
        <v>21</v>
      </c>
    </row>
  </sheetData>
  <pageMargins left="0.75" right="0.75" top="1" bottom="1" header="0.5" footer="0.5"/>
  <pageSetup paperSize="9" orientation="portrait" r:id="rId1"/>
  <ignoredErrors>
    <ignoredError sqref="D2:D8 G2:G8 H2:H8 A2:A8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85F2-B78D-4BC5-90FB-5FEBE919E539}">
  <dimension ref="A1:Q21"/>
  <sheetViews>
    <sheetView tabSelected="1" zoomScaleNormal="100" workbookViewId="0">
      <selection activeCell="J9" sqref="J9"/>
    </sheetView>
  </sheetViews>
  <sheetFormatPr defaultRowHeight="14.4" x14ac:dyDescent="0.3"/>
  <cols>
    <col min="1" max="1" width="8.5546875" bestFit="1" customWidth="1"/>
    <col min="2" max="2" width="15.21875" bestFit="1" customWidth="1"/>
    <col min="3" max="3" width="22.5546875" bestFit="1" customWidth="1"/>
    <col min="4" max="4" width="11" bestFit="1" customWidth="1"/>
    <col min="5" max="5" width="16.33203125" bestFit="1" customWidth="1"/>
    <col min="6" max="6" width="10.6640625" bestFit="1" customWidth="1"/>
    <col min="7" max="7" width="8.33203125" bestFit="1" customWidth="1"/>
    <col min="8" max="8" width="11.5546875" bestFit="1" customWidth="1"/>
    <col min="9" max="9" width="12.5546875" bestFit="1" customWidth="1"/>
    <col min="10" max="10" width="10.77734375" bestFit="1" customWidth="1"/>
    <col min="11" max="11" width="14.88671875" bestFit="1" customWidth="1"/>
    <col min="12" max="12" width="15.77734375" bestFit="1" customWidth="1"/>
    <col min="13" max="13" width="10" bestFit="1" customWidth="1"/>
    <col min="14" max="14" width="8.6640625" bestFit="1" customWidth="1"/>
    <col min="15" max="15" width="10.77734375" bestFit="1" customWidth="1"/>
    <col min="16" max="16" width="20.21875" bestFit="1" customWidth="1"/>
    <col min="17" max="17" width="21.44140625" bestFit="1" customWidth="1"/>
    <col min="18" max="18" width="18" bestFit="1" customWidth="1"/>
    <col min="19" max="19" width="14.88671875" bestFit="1" customWidth="1"/>
    <col min="20" max="20" width="6.5546875" bestFit="1" customWidth="1"/>
    <col min="21" max="24" width="7.5546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</v>
      </c>
    </row>
    <row r="2" spans="1:17" x14ac:dyDescent="0.3">
      <c r="A2" s="8">
        <v>101</v>
      </c>
      <c r="B2" s="2" t="s">
        <v>9</v>
      </c>
      <c r="C2" s="2" t="s">
        <v>10</v>
      </c>
      <c r="D2" s="3" t="s">
        <v>11</v>
      </c>
      <c r="E2" s="2" t="s">
        <v>12</v>
      </c>
      <c r="F2" s="5">
        <v>45291</v>
      </c>
      <c r="G2" s="3">
        <v>1200</v>
      </c>
      <c r="H2" s="4">
        <f>0.1</f>
        <v>0.1</v>
      </c>
      <c r="I2" s="2" t="str">
        <f>TEXT(Table13[[#This Row],[Order_Date]], "mmmm")</f>
        <v>December</v>
      </c>
      <c r="K2" s="6" t="s">
        <v>56</v>
      </c>
      <c r="L2" s="6" t="s">
        <v>57</v>
      </c>
      <c r="P2" s="10" t="s">
        <v>57</v>
      </c>
      <c r="Q2" s="8" t="s">
        <v>58</v>
      </c>
    </row>
    <row r="3" spans="1:17" x14ac:dyDescent="0.3">
      <c r="A3" s="8">
        <v>102</v>
      </c>
      <c r="B3" s="2" t="s">
        <v>16</v>
      </c>
      <c r="C3" s="2" t="s">
        <v>17</v>
      </c>
      <c r="D3" s="3" t="s">
        <v>18</v>
      </c>
      <c r="E3" s="2" t="s">
        <v>19</v>
      </c>
      <c r="F3" s="5">
        <v>45413</v>
      </c>
      <c r="G3" s="3">
        <v>500</v>
      </c>
      <c r="H3" s="4">
        <f>0</f>
        <v>0</v>
      </c>
      <c r="I3" s="2" t="str">
        <f>TEXT(Table13[[#This Row],[Order_Date]], "mmmm")</f>
        <v>May</v>
      </c>
      <c r="K3" s="6" t="s">
        <v>62</v>
      </c>
      <c r="L3" t="s">
        <v>19</v>
      </c>
      <c r="M3" t="s">
        <v>12</v>
      </c>
      <c r="N3" t="s">
        <v>32</v>
      </c>
      <c r="P3" s="12" t="s">
        <v>19</v>
      </c>
      <c r="Q3" s="11">
        <v>1.6666666666666666E-2</v>
      </c>
    </row>
    <row r="4" spans="1:17" x14ac:dyDescent="0.3">
      <c r="A4" s="8">
        <v>103</v>
      </c>
      <c r="B4" s="2" t="s">
        <v>23</v>
      </c>
      <c r="C4" s="2" t="s">
        <v>24</v>
      </c>
      <c r="D4" s="3" t="s">
        <v>25</v>
      </c>
      <c r="E4" s="2" t="s">
        <v>12</v>
      </c>
      <c r="F4" s="5">
        <v>45303</v>
      </c>
      <c r="G4" s="3">
        <v>3000</v>
      </c>
      <c r="H4" s="4">
        <f>0.2</f>
        <v>0.2</v>
      </c>
      <c r="I4" s="2" t="str">
        <f>TEXT(Table13[[#This Row],[Order_Date]], "mmmm")</f>
        <v>January</v>
      </c>
      <c r="K4" s="7" t="s">
        <v>49</v>
      </c>
      <c r="L4" s="9">
        <v>0</v>
      </c>
      <c r="M4" s="9">
        <v>3000</v>
      </c>
      <c r="N4" s="9">
        <v>0</v>
      </c>
      <c r="P4" s="8" t="s">
        <v>12</v>
      </c>
      <c r="Q4" s="11">
        <v>0.15000000000000002</v>
      </c>
    </row>
    <row r="5" spans="1:17" x14ac:dyDescent="0.3">
      <c r="A5" s="8">
        <v>105</v>
      </c>
      <c r="B5" s="2" t="s">
        <v>29</v>
      </c>
      <c r="C5" s="2" t="s">
        <v>30</v>
      </c>
      <c r="D5" s="3" t="s">
        <v>31</v>
      </c>
      <c r="E5" s="2" t="s">
        <v>32</v>
      </c>
      <c r="F5" s="5">
        <v>45337</v>
      </c>
      <c r="G5" s="3">
        <v>2500</v>
      </c>
      <c r="H5" s="4">
        <f>0.15</f>
        <v>0.15</v>
      </c>
      <c r="I5" s="2" t="str">
        <f>TEXT(Table13[[#This Row],[Order_Date]], "mmmm")</f>
        <v>February</v>
      </c>
      <c r="K5" s="7" t="s">
        <v>50</v>
      </c>
      <c r="L5" s="9">
        <v>0</v>
      </c>
      <c r="M5" s="9">
        <v>0</v>
      </c>
      <c r="N5" s="9">
        <v>2500</v>
      </c>
      <c r="P5" s="8" t="s">
        <v>32</v>
      </c>
      <c r="Q5" s="11">
        <v>0.2</v>
      </c>
    </row>
    <row r="6" spans="1:17" x14ac:dyDescent="0.3">
      <c r="A6" s="8">
        <v>106</v>
      </c>
      <c r="B6" s="2" t="s">
        <v>36</v>
      </c>
      <c r="C6" s="2" t="s">
        <v>37</v>
      </c>
      <c r="D6" s="3" t="s">
        <v>38</v>
      </c>
      <c r="E6" s="2" t="s">
        <v>19</v>
      </c>
      <c r="F6" s="5">
        <v>45359</v>
      </c>
      <c r="G6" s="3">
        <v>700</v>
      </c>
      <c r="H6" s="4">
        <f>5/100</f>
        <v>0.05</v>
      </c>
      <c r="I6" s="2" t="str">
        <f>TEXT(Table13[[#This Row],[Order_Date]], "mmmm")</f>
        <v>March</v>
      </c>
      <c r="K6" s="7" t="s">
        <v>51</v>
      </c>
      <c r="L6" s="9">
        <v>700</v>
      </c>
      <c r="M6" s="9">
        <v>0</v>
      </c>
      <c r="N6" s="9">
        <v>0</v>
      </c>
      <c r="P6" s="8"/>
      <c r="Q6" s="8"/>
    </row>
    <row r="7" spans="1:17" x14ac:dyDescent="0.3">
      <c r="A7" s="8">
        <v>107</v>
      </c>
      <c r="B7" s="2" t="s">
        <v>42</v>
      </c>
      <c r="C7" s="2" t="s">
        <v>17</v>
      </c>
      <c r="D7" s="3" t="s">
        <v>43</v>
      </c>
      <c r="E7" s="2" t="s">
        <v>32</v>
      </c>
      <c r="F7" s="5">
        <v>45569</v>
      </c>
      <c r="G7" s="3">
        <v>1800</v>
      </c>
      <c r="H7" s="4">
        <f>25/100</f>
        <v>0.25</v>
      </c>
      <c r="I7" s="2" t="str">
        <f>TEXT(Table13[[#This Row],[Order_Date]], "mmmm")</f>
        <v>October</v>
      </c>
      <c r="K7" s="7" t="s">
        <v>52</v>
      </c>
      <c r="L7" s="9">
        <v>500</v>
      </c>
      <c r="M7" s="9">
        <v>0</v>
      </c>
      <c r="N7" s="9">
        <v>0</v>
      </c>
      <c r="P7" s="10" t="s">
        <v>62</v>
      </c>
      <c r="Q7" s="8" t="s">
        <v>60</v>
      </c>
    </row>
    <row r="8" spans="1:17" x14ac:dyDescent="0.3">
      <c r="A8" s="8">
        <v>108</v>
      </c>
      <c r="B8" s="2" t="s">
        <v>16</v>
      </c>
      <c r="C8" s="2" t="s">
        <v>47</v>
      </c>
      <c r="D8" s="3" t="s">
        <v>25</v>
      </c>
      <c r="E8" s="2" t="s">
        <v>19</v>
      </c>
      <c r="F8" s="5">
        <v>45507</v>
      </c>
      <c r="G8" s="3">
        <v>500</v>
      </c>
      <c r="H8" s="4">
        <f>0</f>
        <v>0</v>
      </c>
      <c r="I8" s="2" t="str">
        <f>TEXT(Table13[[#This Row],[Order_Date]], "mmmm")</f>
        <v>August</v>
      </c>
      <c r="K8" s="7" t="s">
        <v>53</v>
      </c>
      <c r="L8" s="9">
        <v>500</v>
      </c>
      <c r="M8" s="9">
        <v>0</v>
      </c>
      <c r="N8" s="9">
        <v>0</v>
      </c>
      <c r="P8" s="8" t="s">
        <v>49</v>
      </c>
      <c r="Q8" s="3">
        <v>3000</v>
      </c>
    </row>
    <row r="9" spans="1:17" x14ac:dyDescent="0.3">
      <c r="K9" s="7" t="s">
        <v>54</v>
      </c>
      <c r="L9" s="9">
        <v>0</v>
      </c>
      <c r="M9" s="9">
        <v>0</v>
      </c>
      <c r="N9" s="9">
        <v>1800</v>
      </c>
      <c r="P9" s="8" t="s">
        <v>50</v>
      </c>
      <c r="Q9" s="3">
        <v>2500</v>
      </c>
    </row>
    <row r="10" spans="1:17" x14ac:dyDescent="0.3">
      <c r="B10" s="13" t="s">
        <v>63</v>
      </c>
      <c r="C10">
        <f>CORREL(Table13[Revenue], Table13[Discount (%)])</f>
        <v>0.8280211976595675</v>
      </c>
      <c r="K10" s="7" t="s">
        <v>55</v>
      </c>
      <c r="L10" s="9">
        <v>0</v>
      </c>
      <c r="M10" s="9">
        <v>1200</v>
      </c>
      <c r="N10" s="9">
        <v>0</v>
      </c>
      <c r="P10" s="8" t="s">
        <v>51</v>
      </c>
      <c r="Q10" s="3">
        <v>700</v>
      </c>
    </row>
    <row r="11" spans="1:17" x14ac:dyDescent="0.3">
      <c r="P11" s="8" t="s">
        <v>52</v>
      </c>
      <c r="Q11" s="3">
        <v>500</v>
      </c>
    </row>
    <row r="12" spans="1:17" x14ac:dyDescent="0.3">
      <c r="P12" s="8" t="s">
        <v>53</v>
      </c>
      <c r="Q12" s="3">
        <v>500</v>
      </c>
    </row>
    <row r="13" spans="1:17" x14ac:dyDescent="0.3">
      <c r="P13" s="8" t="s">
        <v>54</v>
      </c>
      <c r="Q13" s="3">
        <v>1800</v>
      </c>
    </row>
    <row r="14" spans="1:17" x14ac:dyDescent="0.3">
      <c r="P14" s="8" t="s">
        <v>55</v>
      </c>
      <c r="Q14" s="3">
        <v>1200</v>
      </c>
    </row>
    <row r="15" spans="1:17" x14ac:dyDescent="0.3">
      <c r="P15" s="8" t="s">
        <v>61</v>
      </c>
      <c r="Q15" s="3">
        <v>10200</v>
      </c>
    </row>
    <row r="17" spans="16:17" x14ac:dyDescent="0.3">
      <c r="P17" s="10" t="s">
        <v>57</v>
      </c>
      <c r="Q17" s="8" t="s">
        <v>59</v>
      </c>
    </row>
    <row r="18" spans="16:17" x14ac:dyDescent="0.3">
      <c r="P18" s="8" t="s">
        <v>19</v>
      </c>
      <c r="Q18" s="3">
        <v>1700</v>
      </c>
    </row>
    <row r="19" spans="16:17" x14ac:dyDescent="0.3">
      <c r="P19" s="8" t="s">
        <v>12</v>
      </c>
      <c r="Q19" s="3">
        <v>4200</v>
      </c>
    </row>
    <row r="20" spans="16:17" x14ac:dyDescent="0.3">
      <c r="P20" s="8" t="s">
        <v>32</v>
      </c>
      <c r="Q20" s="3">
        <v>4300</v>
      </c>
    </row>
    <row r="21" spans="16:17" x14ac:dyDescent="0.3">
      <c r="P21" s="8" t="s">
        <v>61</v>
      </c>
      <c r="Q21" s="3">
        <v>10200</v>
      </c>
    </row>
  </sheetData>
  <conditionalFormatting sqref="K3:O3 K11:O11 K4:K10 O4:O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L4:N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9:K20 M13:N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:B39 P3:P5 D32:E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8:P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D2:D8" numberStoredAsText="1"/>
  </ignoredErrors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 Hemantkumar Patel</cp:lastModifiedBy>
  <dcterms:created xsi:type="dcterms:W3CDTF">2025-09-03T11:36:19Z</dcterms:created>
  <dcterms:modified xsi:type="dcterms:W3CDTF">2025-11-16T16:23:33Z</dcterms:modified>
</cp:coreProperties>
</file>